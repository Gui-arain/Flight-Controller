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ndgu\Documents\DRONE\Flight-Controller\hardware\"/>
    </mc:Choice>
  </mc:AlternateContent>
  <xr:revisionPtr revIDLastSave="0" documentId="13_ncr:1_{C4FB798F-A126-4BE2-A27A-0C7858E625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Cs" sheetId="1" r:id="rId1"/>
    <sheet name="Standard components" sheetId="3" r:id="rId2"/>
    <sheet name="Interfaces" sheetId="2" r:id="rId3"/>
    <sheet name="resourc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<sst xmlns="http://schemas.openxmlformats.org/spreadsheetml/2006/main" count="263" uniqueCount="161">
  <si>
    <t>Category</t>
  </si>
  <si>
    <t>Component</t>
  </si>
  <si>
    <t>IMU</t>
  </si>
  <si>
    <t>ICM-42688-P</t>
  </si>
  <si>
    <t>BMI088</t>
  </si>
  <si>
    <t>yes</t>
  </si>
  <si>
    <t>no</t>
  </si>
  <si>
    <t>ICM-40609-D</t>
  </si>
  <si>
    <t>MAG</t>
  </si>
  <si>
    <t>Comment</t>
  </si>
  <si>
    <t>best noise / ODR 32kHz</t>
  </si>
  <si>
    <t>Best reliability 
max acc 24g</t>
  </si>
  <si>
    <t>ODR 32kHz
max 32g</t>
  </si>
  <si>
    <t>MMC5983MA</t>
  </si>
  <si>
    <t>BMM350</t>
  </si>
  <si>
    <t>BAR</t>
  </si>
  <si>
    <t>MS5611-01BA03</t>
  </si>
  <si>
    <t>BMP390</t>
  </si>
  <si>
    <t>?</t>
  </si>
  <si>
    <t>best heading</t>
  </si>
  <si>
    <t>reliable</t>
  </si>
  <si>
    <t>MCU</t>
  </si>
  <si>
    <t>STM32H753</t>
  </si>
  <si>
    <t>STM32H757</t>
  </si>
  <si>
    <t>dual core</t>
  </si>
  <si>
    <t>MEM</t>
  </si>
  <si>
    <t>MEM2061</t>
  </si>
  <si>
    <t>micro SD card socket</t>
  </si>
  <si>
    <t>USB4105</t>
  </si>
  <si>
    <t>USB-C</t>
  </si>
  <si>
    <t>JLCPCB</t>
  </si>
  <si>
    <t>DigiKey</t>
  </si>
  <si>
    <t>proto v1.0</t>
  </si>
  <si>
    <t>v2.0</t>
  </si>
  <si>
    <t>STM32H743ZIT6</t>
  </si>
  <si>
    <t>Boards</t>
  </si>
  <si>
    <t>Suppliers</t>
  </si>
  <si>
    <t>LED</t>
  </si>
  <si>
    <t xml:space="preserve">RGB LED </t>
  </si>
  <si>
    <t>Package</t>
  </si>
  <si>
    <t>Description</t>
  </si>
  <si>
    <t xml:space="preserve">STM32H743ZIT6 </t>
  </si>
  <si>
    <t>LQFP-144</t>
  </si>
  <si>
    <t>19-337C/RSBHGHC-A88/4T</t>
  </si>
  <si>
    <t>DigiKey-19-337C</t>
  </si>
  <si>
    <t>Datasheet</t>
  </si>
  <si>
    <t xml:space="preserve"> </t>
  </si>
  <si>
    <t>Red LED</t>
  </si>
  <si>
    <t>LTST-C150EKT</t>
  </si>
  <si>
    <t>0606 (1616 Metric)</t>
  </si>
  <si>
    <t>DigiKey-LTST-C150EKT</t>
  </si>
  <si>
    <t>1206 (3216 Metric)</t>
  </si>
  <si>
    <t>LTST-C150GKT</t>
  </si>
  <si>
    <t>Green LED</t>
  </si>
  <si>
    <t>DigiKey-LTST-C150GKT</t>
  </si>
  <si>
    <t>JLCPCB-LTST-C150EKT</t>
  </si>
  <si>
    <t>LTST-C191KGKT</t>
  </si>
  <si>
    <t>DigiKey-LTST-C161KGKT</t>
  </si>
  <si>
    <t>0603 (1608 Metric)</t>
  </si>
  <si>
    <t>DigiKey-MEM2061</t>
  </si>
  <si>
    <t>MUX</t>
  </si>
  <si>
    <t>TPS2113A</t>
  </si>
  <si>
    <t>5V Mux 2A max</t>
  </si>
  <si>
    <t>DigiJey-TPS2113A</t>
  </si>
  <si>
    <t>8-VDFN Exposed Pad (3x3)</t>
  </si>
  <si>
    <t>TPS62130ARGTR</t>
  </si>
  <si>
    <t>DigiKey-TPS62130</t>
  </si>
  <si>
    <t>16-VFQFN Exposed Pad</t>
  </si>
  <si>
    <t>BUCK</t>
  </si>
  <si>
    <t>POWER</t>
  </si>
  <si>
    <t>SENSOR</t>
  </si>
  <si>
    <t>COMPUTING</t>
  </si>
  <si>
    <t>CRYSTAL</t>
  </si>
  <si>
    <t>TSX-3225 16.0000MF18X-AC3</t>
  </si>
  <si>
    <t>JLCPCB-TSX-3225</t>
  </si>
  <si>
    <t>DigiKey-TSX3225</t>
  </si>
  <si>
    <t>16MHz 9pF 60Ohms</t>
  </si>
  <si>
    <t>4-SMD (3.2x2.5)</t>
  </si>
  <si>
    <t>CONNECTOR</t>
  </si>
  <si>
    <t>SM04B-GHS-TB</t>
  </si>
  <si>
    <t>DigiKey-SM04B-GHS</t>
  </si>
  <si>
    <t>SM03B-GHS-TB</t>
  </si>
  <si>
    <t>GH1,25 4 pins</t>
  </si>
  <si>
    <t>GH1,26 3pins</t>
  </si>
  <si>
    <t>DigiKey-SM03B-GHS</t>
  </si>
  <si>
    <t>SM06B-GHS-TB</t>
  </si>
  <si>
    <t>GH1,26 6pins</t>
  </si>
  <si>
    <t>DigiKey-SM6B-GHS</t>
  </si>
  <si>
    <t>SWITCH</t>
  </si>
  <si>
    <t>PCM12SMTR</t>
  </si>
  <si>
    <t>JLCPCB-PCM12SMTR</t>
  </si>
  <si>
    <t>6V</t>
  </si>
  <si>
    <t>4V</t>
  </si>
  <si>
    <t>CUS-12TB</t>
  </si>
  <si>
    <t>JLCPCB-CUS-12TB</t>
  </si>
  <si>
    <t>DigiKey-CUS-12TB</t>
  </si>
  <si>
    <t>DigiKey-PCM12SMTR</t>
  </si>
  <si>
    <t>0402</t>
  </si>
  <si>
    <t>CAP</t>
  </si>
  <si>
    <t>0603</t>
  </si>
  <si>
    <t>0805</t>
  </si>
  <si>
    <t>MLCC</t>
  </si>
  <si>
    <t>Tantalum</t>
  </si>
  <si>
    <t>100nF MLCC</t>
  </si>
  <si>
    <t>CL05B104KO5NNNC</t>
  </si>
  <si>
    <t>JLCPCB-MLCC100nF</t>
  </si>
  <si>
    <t>0402 (1005 Metric)</t>
  </si>
  <si>
    <t>FTSH-105-01-F-DV-K</t>
  </si>
  <si>
    <t>DigiKey-FTSH-105</t>
  </si>
  <si>
    <t>JLCPCB-FTSH-105</t>
  </si>
  <si>
    <t>10 pin 1,27 for Cortex-M Debug</t>
  </si>
  <si>
    <t>ESD</t>
  </si>
  <si>
    <t>TPD4E05U06DQAR</t>
  </si>
  <si>
    <t>TVS DIODE 5.5VWM 14VC 10USON</t>
  </si>
  <si>
    <t xml:space="preserve"> 10-UFDFN (2.5x1)</t>
  </si>
  <si>
    <t>DigiKey-TPD4E05</t>
  </si>
  <si>
    <t>JLCPCB-TPD4E05</t>
  </si>
  <si>
    <t>TSD05DYFR</t>
  </si>
  <si>
    <t>TVS DIODE 5.5VWM 9VC SOD-323</t>
  </si>
  <si>
    <t>DigiKey-TSD05</t>
  </si>
  <si>
    <t>JLCPCB-TSD05</t>
  </si>
  <si>
    <t>SC-76, SOD-323</t>
  </si>
  <si>
    <t>FUSE</t>
  </si>
  <si>
    <t>MF-MSMF050-2</t>
  </si>
  <si>
    <t>1812 (4532 Metric), Concave</t>
  </si>
  <si>
    <t>DigiKey-MF-MSMF050</t>
  </si>
  <si>
    <t>JLCPCB-MF-MSMF050</t>
  </si>
  <si>
    <t>Polymeric PTC Resettable Fuse 15V 500 mA</t>
  </si>
  <si>
    <t>TRANSCEIVER</t>
  </si>
  <si>
    <t>CAN</t>
  </si>
  <si>
    <t>MCP2562FD-E/SN</t>
  </si>
  <si>
    <t>8-SOIC (0.154", 3.90mm Width)</t>
  </si>
  <si>
    <t>DigiKey-MCP2562FD</t>
  </si>
  <si>
    <t>convert CAN TX/RX to H/L</t>
  </si>
  <si>
    <t>JLCPCB-MCP2562FD</t>
  </si>
  <si>
    <t>MCP2562FDT-E/MF</t>
  </si>
  <si>
    <t>8-VDFN Exposed Pad</t>
  </si>
  <si>
    <t>DijiKey-MPC2562FDF</t>
  </si>
  <si>
    <t>..\resources\datasheets\IMU\ds-000347_icm-42688-p-datasheet.pdf</t>
  </si>
  <si>
    <t>..\resources\datasheets\IMU\bst-bmi088-ds001.pdf</t>
  </si>
  <si>
    <t>..\resources\datasheets\MAG\MMC5983MADatasheetRevA.pdf</t>
  </si>
  <si>
    <t>..\resources\datasheets\MAG\bst-bmm350-ds001.pdf</t>
  </si>
  <si>
    <t>..\resources\datasheets\BAR\ENG_DS_MS5611-01BA03_B3.pdf</t>
  </si>
  <si>
    <t>..\resources\datasheets\BAR\bst-bmp390-ds002.pdf</t>
  </si>
  <si>
    <t>..\resources\datasheets\STM32\Datasheet\STM32H743xI-G.pdf</t>
  </si>
  <si>
    <t>..\resources\datasheets\POWER\TPS2113a.pdf</t>
  </si>
  <si>
    <t>..\resources\datasheets\POWER\TPS62130.pdf</t>
  </si>
  <si>
    <t>..\resources\datasheets\CAN\MCP2561-2FD-datasheet.pdf</t>
  </si>
  <si>
    <t>..\resources\datasheets\LED\Everlight 19-337C.pdf</t>
  </si>
  <si>
    <t>..\resources\datasheets\LED\LTST-C150EKT.pdf</t>
  </si>
  <si>
    <t>..\resources\datasheets\LED\LTST-C150GKT.pdf</t>
  </si>
  <si>
    <t>..\resources\datasheets\LED\LTST-C191KGKT.PDF</t>
  </si>
  <si>
    <t>..\resources\datasheets\CRYSTAL\TSX-3225_en.pdf</t>
  </si>
  <si>
    <t>..\resources\datasheets\SWITCH\C221841.pdf</t>
  </si>
  <si>
    <t>..\resources\datasheets\SWITCH\CUS-12TB.pdf</t>
  </si>
  <si>
    <t>..\resources\datasheets\ESD\tpd4e05u06.pdf</t>
  </si>
  <si>
    <t>..\resources\datasheets\ESD\tsd05.pdf</t>
  </si>
  <si>
    <t>..\resources\datasheets\FUSE\mf-msmf.pdf</t>
  </si>
  <si>
    <t>..\resources\datasheets\SD_CARD\mem2061-spec.pdf</t>
  </si>
  <si>
    <t>..\resources\datasheets\USB-C\usb4105-spec.pdf</t>
  </si>
  <si>
    <t>..\resources\datasheets\CONNECTOR\GH1.25-datasheet.pdf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</si>
</sst>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6" xfId="0" applyBorder="1"/>
    <xf numFmtId="0" fontId="0" fillId="2" borderId="4" xfId="0" applyFill="1" applyBorder="1"/>
    <xf numFmtId="0" fontId="0" fillId="2" borderId="0" xfId="0" applyFill="1"/>
    <xf numFmtId="0" fontId="0" fillId="3" borderId="4" xfId="0" applyFill="1" applyBorder="1"/>
    <xf numFmtId="0" fontId="0" fillId="0" borderId="9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1"/>
    <xf numFmtId="0" fontId="0" fillId="0" borderId="8" xfId="0" applyBorder="1"/>
    <xf numFmtId="0" fontId="1" fillId="0" borderId="9" xfId="1" applyBorder="1"/>
    <xf numFmtId="0" fontId="0" fillId="0" borderId="2" xfId="0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/>
    <xf numFmtId="0" fontId="0" fillId="5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5" borderId="5" xfId="0" applyFill="1" applyBorder="1"/>
    <xf numFmtId="0" fontId="0" fillId="0" borderId="2" xfId="0" applyBorder="1" applyAlignment="1">
      <alignment vertical="center"/>
    </xf>
    <xf numFmtId="0" fontId="1" fillId="0" borderId="2" xfId="1" applyBorder="1"/>
    <xf numFmtId="0" fontId="1" fillId="0" borderId="3" xfId="1" applyBorder="1"/>
    <xf numFmtId="49" fontId="0" fillId="5" borderId="1" xfId="0" applyNumberFormat="1" applyFill="1" applyBorder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 wrapText="1"/>
    </xf>
    <xf numFmtId="0" fontId="0" fillId="0" borderId="3" xfId="0" applyBorder="1"/>
    <xf numFmtId="0" fontId="1" fillId="0" borderId="4" xfId="1" applyBorder="1"/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11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0" borderId="0" xfId="1" applyAlignment="1">
      <alignment horizontal="right"/>
    </xf>
    <xf numFmtId="0" fontId="0" fillId="0" borderId="0" xfId="0" applyAlignment="1">
      <alignment horizontal="right"/>
    </xf>
    <xf numFmtId="0" fontId="1" fillId="0" borderId="0" xfId="1" applyBorder="1" applyAlignment="1">
      <alignment horizontal="right"/>
    </xf>
    <xf numFmtId="0" fontId="1" fillId="0" borderId="2" xfId="1" applyBorder="1" applyAlignment="1">
      <alignment horizontal="right"/>
    </xf>
    <xf numFmtId="0" fontId="1" fillId="0" borderId="2" xfId="1" applyBorder="1" applyAlignment="1">
      <alignment horizontal="right" vertical="center"/>
    </xf>
    <xf numFmtId="0" fontId="1" fillId="0" borderId="0" xfId="1" applyAlignment="1">
      <alignment horizontal="right" vertical="center"/>
    </xf>
  </cellXfs>
  <cellStyles count="2">
    <cellStyle name="Hyperlink" xfId="1" builtinId="8"/>
    <cellStyle name="Normal" xfId="0" builtinId="0"/>
  </cellStyles>
  <dxfs count="8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7C8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7C8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7C8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38100</xdr:rowOff>
    </xdr:from>
    <xdr:to>
      <xdr:col>14</xdr:col>
      <xdr:colOff>228600</xdr:colOff>
      <xdr:row>14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82FA2E-2EC0-4E04-A423-FFBC52244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"/>
          <a:ext cx="8153400" cy="249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resources\datasheets\STM32\Datasheet\STM32H743xI-G.pdf" TargetMode="External"/><Relationship Id="rId13" Type="http://schemas.openxmlformats.org/officeDocument/2006/relationships/hyperlink" Target="..\resources\datasheets\POWER\TPS62130.pdf" TargetMode="External"/><Relationship Id="rId3" Type="http://schemas.openxmlformats.org/officeDocument/2006/relationships/hyperlink" Target="..\resources\datasheets\IMU\bst-bmi088-ds001.pdf" TargetMode="External"/><Relationship Id="rId7" Type="http://schemas.openxmlformats.org/officeDocument/2006/relationships/hyperlink" Target="..\resources\datasheets\BAR\bst-bmp390-ds002.pdf" TargetMode="External"/><Relationship Id="rId12" Type="http://schemas.openxmlformats.org/officeDocument/2006/relationships/hyperlink" Target="https://www.digikey.com.au/en/products/filter/power-management-pmic/voltage-regulators-dc-dc-switching-regulators/16-vfqfn-exposed-pad/739?s=N4IgjCBcpgbFoDGUBmBDANgZwKYBoQA3AOygBcAnAV3xAHsoBtcABgA42AmAVhAF0CABzJQQAZUoBLYgHMQAX0VA" TargetMode="External"/><Relationship Id="rId17" Type="http://schemas.openxmlformats.org/officeDocument/2006/relationships/hyperlink" Target="https://www.digikey.com.au/en/products/detail/microchip-technology/MCP2562FDT-E-MF/4860104" TargetMode="External"/><Relationship Id="rId2" Type="http://schemas.openxmlformats.org/officeDocument/2006/relationships/hyperlink" Target="..\resources\datasheets\IMU\ds-000347_icm-42688-p-datasheet.pdf" TargetMode="External"/><Relationship Id="rId16" Type="http://schemas.openxmlformats.org/officeDocument/2006/relationships/hyperlink" Target="https://jlcpcb.com/partdetail/MicrochipTech-MCP2562FD_ESN/C124016" TargetMode="External"/><Relationship Id="rId1" Type="http://schemas.openxmlformats.org/officeDocument/2006/relationships/hyperlink" Target="https://jlcpcb.com/partdetail/STMicroelectronics-STM32H743ZIT6/C114408" TargetMode="External"/><Relationship Id="rId6" Type="http://schemas.openxmlformats.org/officeDocument/2006/relationships/hyperlink" Target="..\resources\datasheets\BAR\ENG_DS_MS5611-01BA03_B3.pdf" TargetMode="External"/><Relationship Id="rId11" Type="http://schemas.openxmlformats.org/officeDocument/2006/relationships/hyperlink" Target="https://www.digikey.com.au/en/products/detail/texas-instruments/TPS62130ARGTR/4307640" TargetMode="External"/><Relationship Id="rId5" Type="http://schemas.openxmlformats.org/officeDocument/2006/relationships/hyperlink" Target="..\resources\datasheets\MAG\bst-bmm350-ds001.pdf" TargetMode="External"/><Relationship Id="rId15" Type="http://schemas.openxmlformats.org/officeDocument/2006/relationships/hyperlink" Target="..\resources\datasheets\CAN\MCP2561-2FD-datasheet.pdf" TargetMode="External"/><Relationship Id="rId10" Type="http://schemas.openxmlformats.org/officeDocument/2006/relationships/hyperlink" Target="..\resources\datasheets\POWER\TPS2113a.pdf" TargetMode="External"/><Relationship Id="rId4" Type="http://schemas.openxmlformats.org/officeDocument/2006/relationships/hyperlink" Target="..\resources\datasheets\MAG\MMC5983MADatasheetRevA.pdf" TargetMode="External"/><Relationship Id="rId9" Type="http://schemas.openxmlformats.org/officeDocument/2006/relationships/hyperlink" Target="https://www.digikey.com.au/en/products/detail/texas-instruments/TPS2113ADRBR/2353703" TargetMode="External"/><Relationship Id="rId14" Type="http://schemas.openxmlformats.org/officeDocument/2006/relationships/hyperlink" Target="https://www.digikey.com.au/en/products/detail/microchip-technology/MCP2562FD-E-SN/4842808?s=N4IgTCBcDaILIGEAKYCsA2MAxAIgWgFEB6AZQDkQBdAXy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.au/en/products/detail/liteon/LTST-C191KGKT/386835?s=N4IgTCBcDaIDIBUDKCC0BhAjATkwaQHE8EQBdAXyA" TargetMode="External"/><Relationship Id="rId13" Type="http://schemas.openxmlformats.org/officeDocument/2006/relationships/hyperlink" Target="https://jlcpcb.com/partdetail/Nidec-CUS12TB/C2921739" TargetMode="External"/><Relationship Id="rId18" Type="http://schemas.openxmlformats.org/officeDocument/2006/relationships/hyperlink" Target="https://jlcpcb.com/partdetail/1877-CL05B104KO5NNNC/C1525" TargetMode="External"/><Relationship Id="rId26" Type="http://schemas.openxmlformats.org/officeDocument/2006/relationships/hyperlink" Target="https://jlcpcb.com/partdetail/BOURNS-MF_MSMF0502/C17313" TargetMode="External"/><Relationship Id="rId3" Type="http://schemas.openxmlformats.org/officeDocument/2006/relationships/hyperlink" Target="https://www.digikey.com.au/en/products/detail/liteon/LTST-C150EKT/269215" TargetMode="External"/><Relationship Id="rId21" Type="http://schemas.openxmlformats.org/officeDocument/2006/relationships/hyperlink" Target="https://jlcpcb.com/partdetail/TexasInstruments-TPD4E05U06DQAR/C138714" TargetMode="External"/><Relationship Id="rId7" Type="http://schemas.openxmlformats.org/officeDocument/2006/relationships/hyperlink" Target="https://jlcpcb.com/partdetail/LiteOn-LTSTC150GKT/C125084" TargetMode="External"/><Relationship Id="rId12" Type="http://schemas.openxmlformats.org/officeDocument/2006/relationships/hyperlink" Target="https://jlcpcb.com/partdetail/CK-PCM12SMTR/C221841" TargetMode="External"/><Relationship Id="rId17" Type="http://schemas.openxmlformats.org/officeDocument/2006/relationships/hyperlink" Target="https://www.digikey.com.au/en/products/detail/c-k/PCM12SMTR/1640112" TargetMode="External"/><Relationship Id="rId25" Type="http://schemas.openxmlformats.org/officeDocument/2006/relationships/hyperlink" Target="https://www.digikey.com.au/en/products/detail/bourns-inc/MF-MSMF050-2/662816?s=N4IgTCBcDaILIDEC0cDKiAMBWDSwGEAVJAOQBEQBdAXyA" TargetMode="External"/><Relationship Id="rId2" Type="http://schemas.openxmlformats.org/officeDocument/2006/relationships/hyperlink" Target="..\resources\datasheets\LED\Everlight%2019-337C.pdf" TargetMode="External"/><Relationship Id="rId16" Type="http://schemas.openxmlformats.org/officeDocument/2006/relationships/hyperlink" Target="..\resources\datasheets\SWITCH\CUS-12TB.pdf" TargetMode="External"/><Relationship Id="rId20" Type="http://schemas.openxmlformats.org/officeDocument/2006/relationships/hyperlink" Target="https://www.digikey.com/en/products/detail/texas-instruments/TPD4E05U06DQAR/3996774?s=N4IgTCBcDaICoAUAiAWAogBgKwFUMDYkBFAQQCUQBdAXyA" TargetMode="External"/><Relationship Id="rId1" Type="http://schemas.openxmlformats.org/officeDocument/2006/relationships/hyperlink" Target="https://www.digikey.com.au/en/products/detail/everlight-electronics-co-ltd/19-337C-RSBHGHC-A88-4T/10059590" TargetMode="External"/><Relationship Id="rId6" Type="http://schemas.openxmlformats.org/officeDocument/2006/relationships/hyperlink" Target="https://www.digikey.com.au/en/products/detail/liteon/LTST-C150GKT/269216" TargetMode="External"/><Relationship Id="rId11" Type="http://schemas.openxmlformats.org/officeDocument/2006/relationships/hyperlink" Target="..\resources\datasheets\CRYSTAL\TSX-3225_en.pdf" TargetMode="External"/><Relationship Id="rId24" Type="http://schemas.openxmlformats.org/officeDocument/2006/relationships/hyperlink" Target="https://jlcpcb.com/partdetail/TexasInstruments-TSD05DYFR/C22396185" TargetMode="External"/><Relationship Id="rId5" Type="http://schemas.openxmlformats.org/officeDocument/2006/relationships/hyperlink" Target="..\resources\datasheets\LED\LTST-C150GKT.pdf" TargetMode="External"/><Relationship Id="rId15" Type="http://schemas.openxmlformats.org/officeDocument/2006/relationships/hyperlink" Target="..\resources\datasheets\SWITCH\C221841.pdf" TargetMode="External"/><Relationship Id="rId23" Type="http://schemas.openxmlformats.org/officeDocument/2006/relationships/hyperlink" Target="https://www.digikey.com/en/products/detail/texas-instruments/TSD05DYFR/21298352" TargetMode="External"/><Relationship Id="rId28" Type="http://schemas.openxmlformats.org/officeDocument/2006/relationships/hyperlink" Target="..\resources\datasheets\LED\LTST-C191KGKT.PDF" TargetMode="External"/><Relationship Id="rId10" Type="http://schemas.openxmlformats.org/officeDocument/2006/relationships/hyperlink" Target="https://www.digikey.com.au/en/products/detail/epson/TSX-3225-16-0000MF18X-AC3/1825445" TargetMode="External"/><Relationship Id="rId19" Type="http://schemas.openxmlformats.org/officeDocument/2006/relationships/hyperlink" Target="..\resources\datasheets\ESD\tpd4e05u06.pdf" TargetMode="External"/><Relationship Id="rId4" Type="http://schemas.openxmlformats.org/officeDocument/2006/relationships/hyperlink" Target="..\resources\datasheets\LED\LTST-C150EKT.pdf" TargetMode="External"/><Relationship Id="rId9" Type="http://schemas.openxmlformats.org/officeDocument/2006/relationships/hyperlink" Target="https://jlcpcb.com/partdetail/2078519-TSX_3225_16_0000MF18XAC3/C1986974" TargetMode="External"/><Relationship Id="rId14" Type="http://schemas.openxmlformats.org/officeDocument/2006/relationships/hyperlink" Target="https://www.digikey.com.au/en/products/detail/nidec-components-corporation/CUS-12TB/1124222" TargetMode="External"/><Relationship Id="rId22" Type="http://schemas.openxmlformats.org/officeDocument/2006/relationships/hyperlink" Target="..\resources\datasheets\ESD\tsd05.pdf" TargetMode="External"/><Relationship Id="rId27" Type="http://schemas.openxmlformats.org/officeDocument/2006/relationships/hyperlink" Target="..\resources\datasheets\FUSE\mf-msmf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.au/en/products/detail/samtec-inc/FTSH-105-01-F-DV-K/2649974" TargetMode="External"/><Relationship Id="rId3" Type="http://schemas.openxmlformats.org/officeDocument/2006/relationships/hyperlink" Target="https://www.digikey.com.au/en/products/detail/gct/MEM2061-01-188-00-A/9859612" TargetMode="External"/><Relationship Id="rId7" Type="http://schemas.openxmlformats.org/officeDocument/2006/relationships/hyperlink" Target="..\resources\datasheets\CONNECTOR\GH1.25-datasheet.pdf" TargetMode="External"/><Relationship Id="rId2" Type="http://schemas.openxmlformats.org/officeDocument/2006/relationships/hyperlink" Target="..\resources\datasheets\USB-C\usb4105-spec.pdf" TargetMode="External"/><Relationship Id="rId1" Type="http://schemas.openxmlformats.org/officeDocument/2006/relationships/hyperlink" Target="..\resources\datasheets\SD_CARD\mem2061-spec.pdf" TargetMode="External"/><Relationship Id="rId6" Type="http://schemas.openxmlformats.org/officeDocument/2006/relationships/hyperlink" Target="https://www.digikey.com.au/en/products/detail/jst-sales-america-inc/SM06B-GHS-TB/807790" TargetMode="External"/><Relationship Id="rId11" Type="http://schemas.openxmlformats.org/officeDocument/2006/relationships/hyperlink" Target="..\resources\datasheets\CONNECTOR\GH1.25-datasheet.pdf" TargetMode="External"/><Relationship Id="rId5" Type="http://schemas.openxmlformats.org/officeDocument/2006/relationships/hyperlink" Target="https://www.digikey.com.au/en/products/detail/jst-sales-america-inc/SM03B-GHS-TB/807787" TargetMode="External"/><Relationship Id="rId10" Type="http://schemas.openxmlformats.org/officeDocument/2006/relationships/hyperlink" Target="..\resources\datasheets\CONNECTOR\GH1.25-datasheet.pdf" TargetMode="External"/><Relationship Id="rId4" Type="http://schemas.openxmlformats.org/officeDocument/2006/relationships/hyperlink" Target="https://www.digikey.com.au/en/products/detail/jst-sales-america-inc/SM04B-GHS-TB/807788" TargetMode="External"/><Relationship Id="rId9" Type="http://schemas.openxmlformats.org/officeDocument/2006/relationships/hyperlink" Target="https://jlcpcb.com/partdetail/Samtec-FTSH_105_01_L_DVK/C515508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21"/>
  <sheetViews>
    <sheetView tabSelected="1" workbookViewId="0">
      <selection activeCell="K23" sqref="K23"/>
    </sheetView>
  </sheetViews>
  <sheetFormatPr defaultRowHeight="15" x14ac:dyDescent="0.25"/>
  <cols>
    <col min="4" max="4" width="23.5703125" bestFit="1" customWidth="1"/>
    <col min="5" max="5" width="28.5703125" bestFit="1" customWidth="1"/>
    <col min="6" max="6" width="33" customWidth="1"/>
    <col min="7" max="7" width="23.85546875" bestFit="1" customWidth="1"/>
    <col min="8" max="8" width="9.85546875" bestFit="1" customWidth="1"/>
    <col min="10" max="10" width="18.42578125" bestFit="1" customWidth="1"/>
    <col min="11" max="11" width="19.5703125" bestFit="1" customWidth="1"/>
  </cols>
  <sheetData>
    <row r="2" spans="3:11" x14ac:dyDescent="0.25">
      <c r="C2" s="40" t="s">
        <v>0</v>
      </c>
      <c r="D2" s="40" t="s">
        <v>1</v>
      </c>
      <c r="E2" s="41" t="s">
        <v>40</v>
      </c>
      <c r="F2" s="42"/>
      <c r="G2" s="43"/>
      <c r="H2" s="38" t="s">
        <v>35</v>
      </c>
      <c r="I2" s="39"/>
      <c r="J2" s="38" t="s">
        <v>36</v>
      </c>
      <c r="K2" s="39"/>
    </row>
    <row r="3" spans="3:11" x14ac:dyDescent="0.25">
      <c r="C3" s="40"/>
      <c r="D3" s="40"/>
      <c r="E3" s="16" t="s">
        <v>39</v>
      </c>
      <c r="F3" s="16" t="s">
        <v>45</v>
      </c>
      <c r="G3" s="15" t="s">
        <v>9</v>
      </c>
      <c r="H3" s="17" t="s">
        <v>32</v>
      </c>
      <c r="I3" s="17" t="s">
        <v>33</v>
      </c>
      <c r="J3" s="17" t="s">
        <v>30</v>
      </c>
      <c r="K3" s="17" t="s">
        <v>31</v>
      </c>
    </row>
    <row r="4" spans="3:11" x14ac:dyDescent="0.25">
      <c r="C4" s="35" t="s">
        <v>70</v>
      </c>
      <c r="D4" s="36"/>
      <c r="E4" s="36"/>
      <c r="F4" s="36"/>
      <c r="G4" s="36"/>
      <c r="H4" s="36"/>
      <c r="I4" s="36"/>
      <c r="J4" s="36"/>
      <c r="K4" s="37"/>
    </row>
    <row r="5" spans="3:11" x14ac:dyDescent="0.25">
      <c r="C5" s="44" t="s">
        <v>2</v>
      </c>
      <c r="D5" s="19" t="s">
        <v>3</v>
      </c>
      <c r="E5" t="s">
        <v>46</v>
      </c>
      <c r="F5" s="54" t="s">
        <v>138</v>
      </c>
      <c r="G5" s="4" t="s">
        <v>10</v>
      </c>
      <c r="H5" s="6" t="s">
        <v>5</v>
      </c>
      <c r="I5" s="5" t="s">
        <v>5</v>
      </c>
      <c r="J5" s="8"/>
      <c r="K5" s="1"/>
    </row>
    <row r="6" spans="3:11" ht="30" x14ac:dyDescent="0.25">
      <c r="C6" s="45"/>
      <c r="D6" s="19" t="s">
        <v>4</v>
      </c>
      <c r="E6" t="s">
        <v>46</v>
      </c>
      <c r="F6" s="54" t="s">
        <v>139</v>
      </c>
      <c r="G6" s="3" t="s">
        <v>11</v>
      </c>
      <c r="H6" t="s">
        <v>6</v>
      </c>
      <c r="I6" s="5" t="s">
        <v>5</v>
      </c>
      <c r="J6" s="8"/>
      <c r="K6" s="1"/>
    </row>
    <row r="7" spans="3:11" ht="30" x14ac:dyDescent="0.25">
      <c r="C7" s="45"/>
      <c r="D7" s="19" t="s">
        <v>7</v>
      </c>
      <c r="E7" t="s">
        <v>46</v>
      </c>
      <c r="F7" s="55"/>
      <c r="G7" s="3" t="s">
        <v>12</v>
      </c>
      <c r="H7" t="s">
        <v>6</v>
      </c>
      <c r="I7" s="1" t="s">
        <v>5</v>
      </c>
      <c r="J7" s="8"/>
      <c r="K7" s="1"/>
    </row>
    <row r="8" spans="3:11" x14ac:dyDescent="0.25">
      <c r="C8" s="45" t="s">
        <v>8</v>
      </c>
      <c r="D8" s="19" t="s">
        <v>13</v>
      </c>
      <c r="E8" t="s">
        <v>46</v>
      </c>
      <c r="F8" s="54" t="s">
        <v>140</v>
      </c>
      <c r="G8" s="4" t="s">
        <v>19</v>
      </c>
      <c r="H8" s="6" t="s">
        <v>5</v>
      </c>
      <c r="I8" s="5" t="s">
        <v>5</v>
      </c>
      <c r="J8" s="8"/>
      <c r="K8" s="1"/>
    </row>
    <row r="9" spans="3:11" x14ac:dyDescent="0.25">
      <c r="C9" s="45"/>
      <c r="D9" s="19" t="s">
        <v>14</v>
      </c>
      <c r="E9" t="s">
        <v>46</v>
      </c>
      <c r="F9" s="54" t="s">
        <v>141</v>
      </c>
      <c r="G9" s="4" t="s">
        <v>20</v>
      </c>
      <c r="H9" t="s">
        <v>6</v>
      </c>
      <c r="I9" s="7" t="s">
        <v>18</v>
      </c>
      <c r="J9" s="8"/>
      <c r="K9" s="1"/>
    </row>
    <row r="10" spans="3:11" x14ac:dyDescent="0.25">
      <c r="C10" s="45" t="s">
        <v>15</v>
      </c>
      <c r="D10" s="19" t="s">
        <v>16</v>
      </c>
      <c r="E10" s="4" t="s">
        <v>46</v>
      </c>
      <c r="F10" s="56" t="s">
        <v>142</v>
      </c>
      <c r="G10" s="4" t="s">
        <v>46</v>
      </c>
      <c r="H10" s="6" t="s">
        <v>6</v>
      </c>
      <c r="I10" s="5" t="s">
        <v>5</v>
      </c>
      <c r="J10" s="8"/>
      <c r="K10" s="1"/>
    </row>
    <row r="11" spans="3:11" x14ac:dyDescent="0.25">
      <c r="C11" s="46"/>
      <c r="D11" s="19" t="s">
        <v>17</v>
      </c>
      <c r="E11" s="4" t="s">
        <v>46</v>
      </c>
      <c r="F11" s="56" t="s">
        <v>143</v>
      </c>
      <c r="G11" t="s">
        <v>46</v>
      </c>
      <c r="H11" t="s">
        <v>5</v>
      </c>
      <c r="I11" s="7" t="s">
        <v>5</v>
      </c>
      <c r="J11" s="8"/>
      <c r="K11" s="1"/>
    </row>
    <row r="12" spans="3:11" x14ac:dyDescent="0.25">
      <c r="C12" s="32" t="s">
        <v>71</v>
      </c>
      <c r="D12" s="33"/>
      <c r="E12" s="33"/>
      <c r="F12" s="33"/>
      <c r="G12" s="33"/>
      <c r="H12" s="33"/>
      <c r="I12" s="33"/>
      <c r="J12" s="33"/>
      <c r="K12" s="34"/>
    </row>
    <row r="13" spans="3:11" x14ac:dyDescent="0.25">
      <c r="C13" s="47" t="s">
        <v>21</v>
      </c>
      <c r="D13" s="4" t="s">
        <v>41</v>
      </c>
      <c r="E13" t="s">
        <v>42</v>
      </c>
      <c r="F13" s="54" t="s">
        <v>144</v>
      </c>
      <c r="G13" t="s">
        <v>46</v>
      </c>
      <c r="H13" s="6" t="s">
        <v>5</v>
      </c>
      <c r="I13" s="6" t="s">
        <v>6</v>
      </c>
      <c r="J13" s="13" t="s">
        <v>34</v>
      </c>
      <c r="K13" s="1"/>
    </row>
    <row r="14" spans="3:11" x14ac:dyDescent="0.25">
      <c r="C14" s="47"/>
      <c r="D14" s="4" t="s">
        <v>22</v>
      </c>
      <c r="F14" s="55"/>
      <c r="H14" s="6" t="s">
        <v>5</v>
      </c>
      <c r="I14" s="6" t="s">
        <v>6</v>
      </c>
      <c r="J14" s="8"/>
      <c r="K14" s="1"/>
    </row>
    <row r="15" spans="3:11" x14ac:dyDescent="0.25">
      <c r="C15" s="47"/>
      <c r="D15" s="4" t="s">
        <v>23</v>
      </c>
      <c r="F15" s="55"/>
      <c r="G15" t="s">
        <v>24</v>
      </c>
      <c r="H15" s="6" t="s">
        <v>5</v>
      </c>
      <c r="I15" s="6" t="s">
        <v>6</v>
      </c>
      <c r="J15" s="8"/>
      <c r="K15" s="1"/>
    </row>
    <row r="16" spans="3:11" x14ac:dyDescent="0.25">
      <c r="C16" s="32" t="s">
        <v>69</v>
      </c>
      <c r="D16" s="33"/>
      <c r="E16" s="33"/>
      <c r="F16" s="33"/>
      <c r="G16" s="33"/>
      <c r="H16" s="33"/>
      <c r="I16" s="33"/>
      <c r="J16" s="33"/>
      <c r="K16" s="34"/>
    </row>
    <row r="17" spans="3:11" x14ac:dyDescent="0.25">
      <c r="C17" s="12" t="s">
        <v>60</v>
      </c>
      <c r="D17" s="2" t="s">
        <v>61</v>
      </c>
      <c r="E17" s="14" t="s">
        <v>64</v>
      </c>
      <c r="F17" s="57" t="s">
        <v>145</v>
      </c>
      <c r="G17" s="14" t="s">
        <v>62</v>
      </c>
      <c r="H17" s="6" t="s">
        <v>5</v>
      </c>
      <c r="I17" s="6" t="s">
        <v>6</v>
      </c>
      <c r="J17" s="14"/>
      <c r="K17" s="23" t="s">
        <v>63</v>
      </c>
    </row>
    <row r="18" spans="3:11" x14ac:dyDescent="0.25">
      <c r="C18" s="12" t="s">
        <v>68</v>
      </c>
      <c r="D18" s="2" t="s">
        <v>65</v>
      </c>
      <c r="E18" s="22" t="s">
        <v>67</v>
      </c>
      <c r="F18" s="57" t="s">
        <v>146</v>
      </c>
      <c r="G18" s="27"/>
      <c r="H18" s="6" t="s">
        <v>5</v>
      </c>
      <c r="I18" s="6" t="s">
        <v>6</v>
      </c>
      <c r="K18" s="28" t="s">
        <v>66</v>
      </c>
    </row>
    <row r="19" spans="3:11" x14ac:dyDescent="0.25">
      <c r="C19" s="29" t="s">
        <v>128</v>
      </c>
      <c r="D19" s="29"/>
      <c r="E19" s="29"/>
      <c r="F19" s="29"/>
      <c r="G19" s="29"/>
      <c r="H19" s="29"/>
      <c r="I19" s="29"/>
      <c r="J19" s="29"/>
      <c r="K19" s="29"/>
    </row>
    <row r="20" spans="3:11" x14ac:dyDescent="0.25">
      <c r="C20" s="30" t="s">
        <v>129</v>
      </c>
      <c r="D20" t="s">
        <v>130</v>
      </c>
      <c r="E20" t="s">
        <v>131</v>
      </c>
      <c r="F20" s="54" t="s">
        <v>147</v>
      </c>
      <c r="G20" t="s">
        <v>133</v>
      </c>
      <c r="H20" s="6" t="s">
        <v>5</v>
      </c>
      <c r="J20" s="11" t="s">
        <v>134</v>
      </c>
      <c r="K20" s="11" t="s">
        <v>132</v>
      </c>
    </row>
    <row r="21" spans="3:11" x14ac:dyDescent="0.25">
      <c r="C21" s="31"/>
      <c r="D21" t="s">
        <v>135</v>
      </c>
      <c r="E21" t="s">
        <v>136</v>
      </c>
      <c r="F21" s="55"/>
      <c r="H21" s="6" t="s">
        <v>6</v>
      </c>
      <c r="K21" s="11" t="s">
        <v>137</v>
      </c>
    </row>
  </sheetData>
  <mergeCells count="14">
    <mergeCell ref="C19:K19"/>
    <mergeCell ref="C20:C21"/>
    <mergeCell ref="C16:K16"/>
    <mergeCell ref="C4:K4"/>
    <mergeCell ref="J2:K2"/>
    <mergeCell ref="D2:D3"/>
    <mergeCell ref="C2:C3"/>
    <mergeCell ref="E2:G2"/>
    <mergeCell ref="C5:C7"/>
    <mergeCell ref="C8:C9"/>
    <mergeCell ref="C10:C11"/>
    <mergeCell ref="C13:C15"/>
    <mergeCell ref="H2:I2"/>
    <mergeCell ref="C12:K12"/>
  </mergeCells>
  <conditionalFormatting sqref="H20:H21">
    <cfRule type="cellIs" dxfId="7" priority="1" operator="equal">
      <formula>"no"</formula>
    </cfRule>
    <cfRule type="cellIs" dxfId="6" priority="2" operator="equal">
      <formula>"yes"</formula>
    </cfRule>
  </conditionalFormatting>
  <conditionalFormatting sqref="H5:I11 H13:I15 H17:I18">
    <cfRule type="cellIs" dxfId="5" priority="3" operator="equal">
      <formula>"no"</formula>
    </cfRule>
    <cfRule type="cellIs" dxfId="4" priority="4" operator="equal">
      <formula>"yes"</formula>
    </cfRule>
  </conditionalFormatting>
  <dataValidations count="1">
    <dataValidation type="list" allowBlank="1" showInputMessage="1" showErrorMessage="1" sqref="H5:I11 H13:I15 H17:I18 H20:H21" xr:uid="{91D031B9-CCF6-4B45-AB00-2D58093764CD}">
      <formula1>"yes,no"</formula1>
    </dataValidation>
  </dataValidations>
  <hyperlinks>
    <hyperlink ref="J13" r:id="rId1" xr:uid="{57C33859-179B-4573-8BCE-2F2776120FF1}"/>
    <hyperlink ref="F5" r:id="rId2" xr:uid="{9F1F8EE4-BE1E-480E-95D4-1270040B22FE}"/>
    <hyperlink ref="F6" r:id="rId3" xr:uid="{EEFA6FCB-3202-482E-88A2-8F9DF8B8A453}"/>
    <hyperlink ref="F8" r:id="rId4" xr:uid="{5DDB2188-B900-4772-A0D4-A3DB2F2B75C9}"/>
    <hyperlink ref="F9" r:id="rId5" xr:uid="{DF940AAB-B3F8-4B82-8F67-A812843FEA79}"/>
    <hyperlink ref="F10" r:id="rId6" xr:uid="{521F4EC9-1433-46E3-92DD-70EE4C5129F9}"/>
    <hyperlink ref="F11" r:id="rId7" xr:uid="{71296D36-98FB-4B55-85FA-671FD1492AF0}"/>
    <hyperlink ref="F13" r:id="rId8" xr:uid="{67C35BA2-8BA5-469D-92D9-25C30287E542}"/>
    <hyperlink ref="K17" r:id="rId9" xr:uid="{C7DAE8B1-7D24-4D82-9CAC-FAA05209AA04}"/>
    <hyperlink ref="F17" r:id="rId10" xr:uid="{BF3C2DEE-319B-47CA-BB7F-CC9DDD316D83}"/>
    <hyperlink ref="K18" r:id="rId11" xr:uid="{D8A1F51B-D01B-44C7-9E49-7FA996B83847}"/>
    <hyperlink ref="E18" r:id="rId12" display="https://www.digikey.com.au/en/products/filter/power-management-pmic/voltage-regulators-dc-dc-switching-regulators/16-vfqfn-exposed-pad/739?s=N4IgjCBcpgbFoDGUBmBDANgZwKYBoQA3AOygBcAnAV3xAHsoBtcABgA42AmAVhAF0CABzJQQAZUoBLYgHMQAX0VA" xr:uid="{08026901-09A3-41F1-A40C-633C3F95A180}"/>
    <hyperlink ref="F18" r:id="rId13" xr:uid="{8D02B26B-9403-49DB-A3FC-4974493D9149}"/>
    <hyperlink ref="K20" r:id="rId14" xr:uid="{78BFE1A1-9DCE-412E-BEF0-1F3E51F9DC44}"/>
    <hyperlink ref="F20" r:id="rId15" xr:uid="{FF2076C3-F5D2-4C97-8BCA-B03FB41885C8}"/>
    <hyperlink ref="J20" r:id="rId16" xr:uid="{95E773F7-E1C0-4DC2-8D2F-7AD94AA9D51B}"/>
    <hyperlink ref="K21" r:id="rId17" xr:uid="{84B931C7-29AD-4AB1-87E2-CD8764EDB62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DE95-32D1-49FD-9C5A-9CBB1FAE7FE3}">
  <dimension ref="B3:J23"/>
  <sheetViews>
    <sheetView zoomScale="85" zoomScaleNormal="85" workbookViewId="0">
      <selection activeCell="J25" sqref="J25"/>
    </sheetView>
  </sheetViews>
  <sheetFormatPr defaultRowHeight="15" x14ac:dyDescent="0.25"/>
  <cols>
    <col min="2" max="2" width="8.85546875" bestFit="1" customWidth="1"/>
    <col min="3" max="3" width="26.42578125" bestFit="1" customWidth="1"/>
    <col min="4" max="4" width="28.140625" style="25" customWidth="1"/>
    <col min="5" max="5" width="24.140625" bestFit="1" customWidth="1"/>
    <col min="6" max="6" width="31.28515625" bestFit="1" customWidth="1"/>
    <col min="7" max="7" width="16.85546875" customWidth="1"/>
    <col min="8" max="8" width="9.5703125" customWidth="1"/>
    <col min="9" max="9" width="20" bestFit="1" customWidth="1"/>
    <col min="10" max="10" width="20.5703125" bestFit="1" customWidth="1"/>
  </cols>
  <sheetData>
    <row r="3" spans="2:10" x14ac:dyDescent="0.25">
      <c r="B3" s="40" t="s">
        <v>0</v>
      </c>
      <c r="C3" s="40" t="s">
        <v>1</v>
      </c>
      <c r="D3" s="38" t="s">
        <v>40</v>
      </c>
      <c r="E3" s="48"/>
      <c r="F3" s="39"/>
      <c r="G3" s="38" t="s">
        <v>35</v>
      </c>
      <c r="H3" s="39"/>
      <c r="I3" s="38" t="s">
        <v>36</v>
      </c>
      <c r="J3" s="39"/>
    </row>
    <row r="4" spans="2:10" x14ac:dyDescent="0.25">
      <c r="B4" s="40"/>
      <c r="C4" s="40"/>
      <c r="D4" s="24" t="s">
        <v>39</v>
      </c>
      <c r="E4" s="16" t="s">
        <v>45</v>
      </c>
      <c r="F4" s="16" t="s">
        <v>9</v>
      </c>
      <c r="G4" s="17" t="s">
        <v>32</v>
      </c>
      <c r="H4" s="17" t="s">
        <v>33</v>
      </c>
      <c r="I4" s="17" t="s">
        <v>30</v>
      </c>
      <c r="J4" s="17" t="s">
        <v>31</v>
      </c>
    </row>
    <row r="5" spans="2:10" x14ac:dyDescent="0.25">
      <c r="B5" s="30" t="s">
        <v>37</v>
      </c>
      <c r="C5" t="s">
        <v>43</v>
      </c>
      <c r="D5" s="25" t="s">
        <v>49</v>
      </c>
      <c r="E5" s="54" t="s">
        <v>148</v>
      </c>
      <c r="F5" t="s">
        <v>38</v>
      </c>
      <c r="G5" s="6" t="s">
        <v>5</v>
      </c>
      <c r="H5" s="6" t="s">
        <v>5</v>
      </c>
      <c r="J5" s="11" t="s">
        <v>44</v>
      </c>
    </row>
    <row r="6" spans="2:10" x14ac:dyDescent="0.25">
      <c r="B6" s="31"/>
      <c r="C6" t="s">
        <v>48</v>
      </c>
      <c r="D6" s="25" t="s">
        <v>51</v>
      </c>
      <c r="E6" s="54" t="s">
        <v>149</v>
      </c>
      <c r="F6" t="s">
        <v>47</v>
      </c>
      <c r="G6" s="6" t="s">
        <v>5</v>
      </c>
      <c r="H6" s="6" t="s">
        <v>6</v>
      </c>
      <c r="J6" s="11" t="s">
        <v>50</v>
      </c>
    </row>
    <row r="7" spans="2:10" x14ac:dyDescent="0.25">
      <c r="B7" s="31"/>
      <c r="C7" t="s">
        <v>52</v>
      </c>
      <c r="D7" s="25" t="s">
        <v>51</v>
      </c>
      <c r="E7" s="54" t="s">
        <v>150</v>
      </c>
      <c r="F7" t="s">
        <v>53</v>
      </c>
      <c r="G7" s="6" t="s">
        <v>5</v>
      </c>
      <c r="H7" s="6" t="s">
        <v>6</v>
      </c>
      <c r="I7" s="11" t="s">
        <v>55</v>
      </c>
      <c r="J7" s="11" t="s">
        <v>54</v>
      </c>
    </row>
    <row r="8" spans="2:10" x14ac:dyDescent="0.25">
      <c r="B8" s="31"/>
      <c r="C8" t="s">
        <v>56</v>
      </c>
      <c r="D8" s="25" t="s">
        <v>58</v>
      </c>
      <c r="E8" s="54" t="s">
        <v>151</v>
      </c>
      <c r="F8" t="s">
        <v>53</v>
      </c>
      <c r="G8" s="6" t="s">
        <v>6</v>
      </c>
      <c r="H8" s="6" t="s">
        <v>5</v>
      </c>
      <c r="J8" s="11" t="s">
        <v>57</v>
      </c>
    </row>
    <row r="9" spans="2:10" x14ac:dyDescent="0.25">
      <c r="B9" t="s">
        <v>72</v>
      </c>
      <c r="C9" t="s">
        <v>73</v>
      </c>
      <c r="D9" s="25" t="s">
        <v>77</v>
      </c>
      <c r="E9" s="54" t="s">
        <v>152</v>
      </c>
      <c r="F9" t="s">
        <v>76</v>
      </c>
      <c r="G9" s="6" t="s">
        <v>5</v>
      </c>
      <c r="I9" s="11" t="s">
        <v>74</v>
      </c>
      <c r="J9" s="11" t="s">
        <v>75</v>
      </c>
    </row>
    <row r="10" spans="2:10" x14ac:dyDescent="0.25">
      <c r="B10" s="31" t="s">
        <v>88</v>
      </c>
      <c r="C10" t="s">
        <v>89</v>
      </c>
      <c r="D10" s="25" t="s">
        <v>46</v>
      </c>
      <c r="E10" s="54" t="s">
        <v>153</v>
      </c>
      <c r="F10" t="s">
        <v>91</v>
      </c>
      <c r="G10" s="6" t="s">
        <v>5</v>
      </c>
      <c r="I10" s="11" t="s">
        <v>90</v>
      </c>
      <c r="J10" s="11" t="s">
        <v>96</v>
      </c>
    </row>
    <row r="11" spans="2:10" x14ac:dyDescent="0.25">
      <c r="B11" s="31"/>
      <c r="C11" t="s">
        <v>93</v>
      </c>
      <c r="D11" s="25" t="s">
        <v>46</v>
      </c>
      <c r="E11" s="54" t="s">
        <v>154</v>
      </c>
      <c r="F11" t="s">
        <v>92</v>
      </c>
      <c r="G11" s="6" t="s">
        <v>6</v>
      </c>
      <c r="I11" s="11" t="s">
        <v>94</v>
      </c>
      <c r="J11" s="11" t="s">
        <v>95</v>
      </c>
    </row>
    <row r="12" spans="2:10" x14ac:dyDescent="0.25">
      <c r="B12" s="31" t="s">
        <v>98</v>
      </c>
      <c r="C12" t="s">
        <v>104</v>
      </c>
      <c r="D12" s="25" t="s">
        <v>106</v>
      </c>
      <c r="E12" s="55"/>
      <c r="F12" t="s">
        <v>103</v>
      </c>
      <c r="G12" s="6" t="s">
        <v>5</v>
      </c>
      <c r="I12" s="11" t="s">
        <v>105</v>
      </c>
    </row>
    <row r="13" spans="2:10" x14ac:dyDescent="0.25">
      <c r="B13" s="31"/>
      <c r="D13" s="25" t="s">
        <v>99</v>
      </c>
      <c r="E13" s="55"/>
      <c r="F13" t="s">
        <v>101</v>
      </c>
      <c r="G13" s="6" t="s">
        <v>6</v>
      </c>
    </row>
    <row r="14" spans="2:10" x14ac:dyDescent="0.25">
      <c r="B14" s="31"/>
      <c r="D14" s="25" t="s">
        <v>100</v>
      </c>
      <c r="E14" s="55"/>
      <c r="F14" t="s">
        <v>101</v>
      </c>
      <c r="G14" s="6" t="s">
        <v>6</v>
      </c>
    </row>
    <row r="15" spans="2:10" x14ac:dyDescent="0.25">
      <c r="B15" s="31"/>
      <c r="D15" s="25" t="s">
        <v>97</v>
      </c>
      <c r="E15" s="55"/>
      <c r="F15" t="s">
        <v>102</v>
      </c>
      <c r="G15" s="6" t="s">
        <v>6</v>
      </c>
    </row>
    <row r="16" spans="2:10" x14ac:dyDescent="0.25">
      <c r="B16" s="31"/>
      <c r="D16" s="25" t="s">
        <v>99</v>
      </c>
      <c r="E16" s="55"/>
      <c r="F16" t="s">
        <v>102</v>
      </c>
      <c r="G16" s="6" t="s">
        <v>6</v>
      </c>
    </row>
    <row r="17" spans="2:10" x14ac:dyDescent="0.25">
      <c r="B17" s="31"/>
      <c r="D17" s="25" t="s">
        <v>100</v>
      </c>
      <c r="E17" s="55"/>
      <c r="F17" t="s">
        <v>102</v>
      </c>
      <c r="G17" s="6" t="s">
        <v>6</v>
      </c>
    </row>
    <row r="18" spans="2:10" x14ac:dyDescent="0.25">
      <c r="B18" s="31" t="s">
        <v>111</v>
      </c>
      <c r="C18" t="s">
        <v>112</v>
      </c>
      <c r="D18" t="s">
        <v>114</v>
      </c>
      <c r="E18" s="54" t="s">
        <v>155</v>
      </c>
      <c r="F18" t="s">
        <v>113</v>
      </c>
      <c r="G18" s="6" t="s">
        <v>5</v>
      </c>
      <c r="I18" s="11" t="s">
        <v>116</v>
      </c>
      <c r="J18" s="11" t="s">
        <v>115</v>
      </c>
    </row>
    <row r="19" spans="2:10" x14ac:dyDescent="0.25">
      <c r="B19" s="31"/>
      <c r="C19" t="s">
        <v>117</v>
      </c>
      <c r="D19" t="s">
        <v>121</v>
      </c>
      <c r="E19" s="54" t="s">
        <v>156</v>
      </c>
      <c r="F19" t="s">
        <v>118</v>
      </c>
      <c r="G19" s="6" t="s">
        <v>5</v>
      </c>
      <c r="I19" s="11" t="s">
        <v>120</v>
      </c>
      <c r="J19" s="11" t="s">
        <v>119</v>
      </c>
    </row>
    <row r="20" spans="2:10" ht="30" x14ac:dyDescent="0.25">
      <c r="B20" s="9" t="s">
        <v>122</v>
      </c>
      <c r="C20" t="s">
        <v>123</v>
      </c>
      <c r="D20" t="s">
        <v>124</v>
      </c>
      <c r="E20" s="54" t="s">
        <v>157</v>
      </c>
      <c r="F20" s="26" t="s">
        <v>127</v>
      </c>
      <c r="G20" s="6" t="s">
        <v>5</v>
      </c>
      <c r="I20" s="11" t="s">
        <v>126</v>
      </c>
      <c r="J20" s="11" t="s">
        <v>125</v>
      </c>
    </row>
    <row r="23" spans="2:10" x14ac:dyDescent="0.25">
      <c r="F23" s="26"/>
    </row>
  </sheetData>
  <mergeCells count="9">
    <mergeCell ref="G3:H3"/>
    <mergeCell ref="I3:J3"/>
    <mergeCell ref="D3:F3"/>
    <mergeCell ref="B18:B19"/>
    <mergeCell ref="B10:B11"/>
    <mergeCell ref="B12:B17"/>
    <mergeCell ref="B5:B8"/>
    <mergeCell ref="B3:B4"/>
    <mergeCell ref="C3:C4"/>
  </mergeCells>
  <conditionalFormatting sqref="G5:H8 G9:G20">
    <cfRule type="cellIs" dxfId="3" priority="1" operator="equal">
      <formula>"no"</formula>
    </cfRule>
    <cfRule type="cellIs" dxfId="2" priority="2" operator="equal">
      <formula>"yes"</formula>
    </cfRule>
  </conditionalFormatting>
  <dataValidations count="1">
    <dataValidation type="list" allowBlank="1" showInputMessage="1" showErrorMessage="1" sqref="G5:H8 G9:G20" xr:uid="{16E70C10-E0D8-4840-AEA1-7AA8C21C6052}">
      <formula1>"yes,no"</formula1>
    </dataValidation>
  </dataValidations>
  <hyperlinks>
    <hyperlink ref="J5" r:id="rId1" xr:uid="{77CE8013-1BB1-433D-94A3-B2FAB9921B3A}"/>
    <hyperlink ref="E5" r:id="rId2" xr:uid="{8E84968F-3D5A-40EC-B9C0-E90712451C7F}"/>
    <hyperlink ref="J6" r:id="rId3" xr:uid="{02A83B75-9123-4893-B449-D8856F7C48B0}"/>
    <hyperlink ref="E6" r:id="rId4" xr:uid="{0A4DBF73-37BE-43D1-86F6-08A54E4D5A74}"/>
    <hyperlink ref="E7" r:id="rId5" xr:uid="{9CE94A8C-34F6-4260-B969-573D2A245667}"/>
    <hyperlink ref="J7" r:id="rId6" xr:uid="{F1AF7B01-8EF8-4D45-AD7F-F00C9B1E0E4A}"/>
    <hyperlink ref="I7" r:id="rId7" xr:uid="{0B05A3A8-0A0A-4446-9677-394031162275}"/>
    <hyperlink ref="J8" r:id="rId8" xr:uid="{523C57AE-A327-42AA-8E99-8F06A162D325}"/>
    <hyperlink ref="I9" r:id="rId9" xr:uid="{91D0E0B7-7B95-48BC-A721-F3BADC2E68D5}"/>
    <hyperlink ref="J9" r:id="rId10" xr:uid="{3B705498-1050-4B6F-813A-9E89D27111EC}"/>
    <hyperlink ref="E9" r:id="rId11" xr:uid="{691A8FF3-0680-401C-A5BB-CA72E59A6F7B}"/>
    <hyperlink ref="I10" r:id="rId12" xr:uid="{7D3C1811-6BD9-43E5-AF37-933D4003306E}"/>
    <hyperlink ref="I11" r:id="rId13" xr:uid="{8F53AC38-352C-4657-A4A8-1DE7749D8332}"/>
    <hyperlink ref="J11" r:id="rId14" xr:uid="{218DA976-742E-4846-AF26-57B1BE9B2D28}"/>
    <hyperlink ref="E10" r:id="rId15" xr:uid="{F5BC8CEE-F530-48B2-AEB0-05138F66FE72}"/>
    <hyperlink ref="E11" r:id="rId16" xr:uid="{2F7D2E1C-572A-40A6-A537-AE8A71A84B92}"/>
    <hyperlink ref="J10" r:id="rId17" xr:uid="{078108F6-3106-4427-8212-509361A32B23}"/>
    <hyperlink ref="I12" r:id="rId18" xr:uid="{4B806AB2-B5DE-4DCB-AC21-E51C140EAA6F}"/>
    <hyperlink ref="E18" r:id="rId19" xr:uid="{B84D1D11-4839-4507-866F-3DB821FC7223}"/>
    <hyperlink ref="J18" r:id="rId20" xr:uid="{45063706-F8DD-4586-B532-1AF1FFE4D222}"/>
    <hyperlink ref="I18" r:id="rId21" xr:uid="{D608BFA7-83BF-4D1F-82B5-5A142FAD149B}"/>
    <hyperlink ref="E19" r:id="rId22" xr:uid="{4E4966D7-5D9C-457C-875C-140C265069B0}"/>
    <hyperlink ref="J19" r:id="rId23" xr:uid="{2C2D94D1-BDF7-426D-8EFB-1C4770F313BB}"/>
    <hyperlink ref="I19" r:id="rId24" xr:uid="{E1BC785D-5519-4540-A6B1-C307CDC6A748}"/>
    <hyperlink ref="J20" r:id="rId25" xr:uid="{FE26BA89-AE20-400E-A204-A1D51563DF5F}"/>
    <hyperlink ref="I20" r:id="rId26" xr:uid="{4380D086-6180-45C1-9F84-52BBDD26E612}"/>
    <hyperlink ref="E20" r:id="rId27" xr:uid="{F01D8885-58E5-4152-89A6-1D3EFB41E879}"/>
    <hyperlink ref="E8" r:id="rId28" xr:uid="{A66C6588-B22D-48F2-A4EC-7D0E46AD60F3}"/>
  </hyperlinks>
  <pageMargins left="0.7" right="0.7" top="0.75" bottom="0.75" header="0.3" footer="0.3"/>
  <ignoredErrors>
    <ignoredError sqref="D13:D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59C48-31F7-46F6-BD64-EAF773283DB7}">
  <dimension ref="B2:M9"/>
  <sheetViews>
    <sheetView zoomScaleNormal="100" workbookViewId="0">
      <selection activeCell="D15" sqref="D15"/>
    </sheetView>
  </sheetViews>
  <sheetFormatPr defaultRowHeight="15" x14ac:dyDescent="0.25"/>
  <cols>
    <col min="2" max="2" width="12.140625" bestFit="1" customWidth="1"/>
    <col min="3" max="3" width="18.85546875" bestFit="1" customWidth="1"/>
    <col min="4" max="4" width="11.140625" customWidth="1"/>
    <col min="5" max="5" width="33" bestFit="1" customWidth="1"/>
    <col min="6" max="6" width="28.7109375" bestFit="1" customWidth="1"/>
    <col min="7" max="7" width="19.28515625" bestFit="1" customWidth="1"/>
    <col min="8" max="8" width="11.140625" customWidth="1"/>
    <col min="9" max="9" width="16" bestFit="1" customWidth="1"/>
    <col min="10" max="10" width="18.85546875" bestFit="1" customWidth="1"/>
  </cols>
  <sheetData>
    <row r="2" spans="2:13" x14ac:dyDescent="0.25">
      <c r="B2" s="49" t="s">
        <v>0</v>
      </c>
      <c r="C2" s="49" t="s">
        <v>1</v>
      </c>
      <c r="D2" s="51" t="s">
        <v>40</v>
      </c>
      <c r="E2" s="52"/>
      <c r="F2" s="53"/>
      <c r="G2" s="38" t="s">
        <v>35</v>
      </c>
      <c r="H2" s="39"/>
      <c r="I2" s="38" t="s">
        <v>36</v>
      </c>
      <c r="J2" s="39"/>
    </row>
    <row r="3" spans="2:13" x14ac:dyDescent="0.25">
      <c r="B3" s="50"/>
      <c r="C3" s="50"/>
      <c r="D3" s="18" t="s">
        <v>39</v>
      </c>
      <c r="E3" s="18" t="s">
        <v>45</v>
      </c>
      <c r="F3" s="18" t="s">
        <v>9</v>
      </c>
      <c r="G3" s="20" t="s">
        <v>32</v>
      </c>
      <c r="H3" s="20" t="s">
        <v>33</v>
      </c>
      <c r="I3" s="20" t="s">
        <v>30</v>
      </c>
      <c r="J3" s="20" t="s">
        <v>31</v>
      </c>
    </row>
    <row r="4" spans="2:13" x14ac:dyDescent="0.25">
      <c r="B4" s="10" t="s">
        <v>25</v>
      </c>
      <c r="C4" s="10" t="s">
        <v>26</v>
      </c>
      <c r="D4" s="10" t="s">
        <v>46</v>
      </c>
      <c r="E4" s="58" t="s">
        <v>158</v>
      </c>
      <c r="F4" s="21" t="s">
        <v>27</v>
      </c>
      <c r="G4" s="6" t="s">
        <v>5</v>
      </c>
      <c r="H4" s="6" t="s">
        <v>5</v>
      </c>
      <c r="I4" s="14"/>
      <c r="J4" s="22" t="s">
        <v>59</v>
      </c>
    </row>
    <row r="5" spans="2:13" x14ac:dyDescent="0.25">
      <c r="B5" s="9" t="s">
        <v>29</v>
      </c>
      <c r="C5" s="9" t="s">
        <v>28</v>
      </c>
      <c r="D5" s="9" t="s">
        <v>46</v>
      </c>
      <c r="E5" s="59" t="s">
        <v>159</v>
      </c>
      <c r="F5" s="9"/>
      <c r="G5" s="6" t="s">
        <v>5</v>
      </c>
      <c r="H5" s="6" t="s">
        <v>5</v>
      </c>
    </row>
    <row r="6" spans="2:13" x14ac:dyDescent="0.25">
      <c r="B6" s="31" t="s">
        <v>78</v>
      </c>
      <c r="C6" t="s">
        <v>79</v>
      </c>
      <c r="D6" t="s">
        <v>46</v>
      </c>
      <c r="E6" s="54" t="s">
        <v>160</v>
      </c>
      <c r="F6" t="s">
        <v>82</v>
      </c>
      <c r="G6" s="6" t="s">
        <v>5</v>
      </c>
      <c r="J6" s="11" t="s">
        <v>80</v>
      </c>
    </row>
    <row r="7" spans="2:13" x14ac:dyDescent="0.25">
      <c r="B7" s="31"/>
      <c r="C7" t="s">
        <v>81</v>
      </c>
      <c r="D7" t="s">
        <v>46</v>
      </c>
      <c r="E7" s="54" t="s">
        <v>160</v>
      </c>
      <c r="F7" t="s">
        <v>83</v>
      </c>
      <c r="G7" s="6" t="s">
        <v>5</v>
      </c>
      <c r="J7" s="11" t="s">
        <v>84</v>
      </c>
    </row>
    <row r="8" spans="2:13" x14ac:dyDescent="0.25">
      <c r="B8" s="31"/>
      <c r="C8" t="s">
        <v>85</v>
      </c>
      <c r="D8" t="s">
        <v>46</v>
      </c>
      <c r="E8" s="54" t="s">
        <v>160</v>
      </c>
      <c r="F8" t="s">
        <v>86</v>
      </c>
      <c r="G8" s="6" t="s">
        <v>5</v>
      </c>
      <c r="J8" s="11" t="s">
        <v>87</v>
      </c>
    </row>
    <row r="9" spans="2:13" x14ac:dyDescent="0.25">
      <c r="B9" s="31"/>
      <c r="C9" t="s">
        <v>107</v>
      </c>
      <c r="D9" t="s">
        <v>46</v>
      </c>
      <c r="F9" t="s">
        <v>110</v>
      </c>
      <c r="G9" s="6" t="s">
        <v>5</v>
      </c>
      <c r="I9" s="11" t="s">
        <v>109</v>
      </c>
      <c r="J9" s="11" t="s">
        <v>108</v>
      </c>
      <c r="M9" t="s">
        <v>46</v>
      </c>
    </row>
  </sheetData>
  <mergeCells count="6">
    <mergeCell ref="B6:B9"/>
    <mergeCell ref="B2:B3"/>
    <mergeCell ref="D2:F2"/>
    <mergeCell ref="G2:H2"/>
    <mergeCell ref="I2:J2"/>
    <mergeCell ref="C2:C3"/>
  </mergeCells>
  <phoneticPr fontId="2" type="noConversion"/>
  <conditionalFormatting sqref="G4:H5 G6:G9">
    <cfRule type="cellIs" dxfId="1" priority="1" operator="equal">
      <formula>"no"</formula>
    </cfRule>
    <cfRule type="cellIs" dxfId="0" priority="2" operator="equal">
      <formula>"yes"</formula>
    </cfRule>
  </conditionalFormatting>
  <dataValidations count="1">
    <dataValidation type="list" allowBlank="1" showInputMessage="1" showErrorMessage="1" sqref="G4:H5 G6:G9" xr:uid="{B7DBCFF7-4635-4E15-BF81-BA5997C39FBD}">
      <formula1>"yes,no"</formula1>
    </dataValidation>
  </dataValidations>
  <hyperlinks>
    <hyperlink ref="E4" r:id="rId1" xr:uid="{5546B014-9329-47FC-AAD6-E260BD7AED8D}"/>
    <hyperlink ref="E5" r:id="rId2" xr:uid="{73C376A3-4787-4FA7-9FCF-165EA9F7B0EA}"/>
    <hyperlink ref="J4" r:id="rId3" xr:uid="{FD0065D5-8E61-469C-B24F-08E0153BF3BF}"/>
    <hyperlink ref="J6" r:id="rId4" xr:uid="{3E91EE72-9A4D-4064-802F-11813FD2444F}"/>
    <hyperlink ref="J7" r:id="rId5" xr:uid="{9B6D809A-D8C0-45A7-85F3-8FF182F9FE88}"/>
    <hyperlink ref="J8" r:id="rId6" xr:uid="{B4F4C383-C9E8-4C56-8D57-E48F0EF33EC3}"/>
    <hyperlink ref="E6" r:id="rId7" xr:uid="{F6CA2D68-D036-466F-BED2-3214452455B4}"/>
    <hyperlink ref="J9" r:id="rId8" xr:uid="{BFBED7EF-F5AD-4895-AF1F-E2FB36EACCF3}"/>
    <hyperlink ref="I9" r:id="rId9" xr:uid="{1A73440C-FAE4-4FA1-BFED-47AF249471DF}"/>
    <hyperlink ref="E7" r:id="rId10" xr:uid="{291E78CF-CF10-4D1F-821D-2280DEFB8E49}"/>
    <hyperlink ref="E8" r:id="rId11" xr:uid="{6549D6C6-938B-4748-8AB4-303A00E9319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3973-A225-46FE-9129-4B158768D499}">
  <dimension ref="A1"/>
  <sheetViews>
    <sheetView workbookViewId="0">
      <selection activeCell="I26" sqref="I2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ICs</vt:lpstr>
      <vt:lpstr>Standard components</vt:lpstr>
      <vt:lpstr>Interfaces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guilhem and</dc:creator>
  <cp:lastModifiedBy>Guilhem Antoine Marc Andrieu</cp:lastModifiedBy>
  <dcterms:created xsi:type="dcterms:W3CDTF">2015-06-05T18:17:20Z</dcterms:created>
  <dcterms:modified xsi:type="dcterms:W3CDTF">2025-11-23T04:58:38Z</dcterms:modified>
</cp:coreProperties>
</file>